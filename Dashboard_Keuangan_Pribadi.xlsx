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Book Hype AMD\.gemini\antigravity-ide\scratch\finflow-pwa\"/>
    </mc:Choice>
  </mc:AlternateContent>
  <xr:revisionPtr revIDLastSave="0" documentId="8_{3C4FBF1C-11BA-444E-BB28-EABFBAD2B4F5}" xr6:coauthVersionLast="47" xr6:coauthVersionMax="47" xr10:uidLastSave="{00000000-0000-0000-0000-000000000000}"/>
  <bookViews>
    <workbookView xWindow="-110" yWindow="-110" windowWidth="19420" windowHeight="11500" activeTab="2" xr2:uid="{90733626-5F34-4F8A-94B3-A19D7FB29435}"/>
  </bookViews>
  <sheets>
    <sheet name="Talangan &amp; Piutang" sheetId="3" r:id="rId1"/>
    <sheet name="Transaksi Harian" sheetId="2" r:id="rId2"/>
    <sheet name="Dashboard &amp; Ringkasan" sheetId="1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K16" i="1"/>
  <c r="J16" i="1"/>
  <c r="I16" i="1"/>
  <c r="K15" i="1"/>
  <c r="J15" i="1"/>
  <c r="K14" i="1"/>
  <c r="J14" i="1"/>
  <c r="K13" i="1"/>
  <c r="J13" i="1"/>
  <c r="K12" i="1"/>
  <c r="J12" i="1"/>
  <c r="K11" i="1"/>
  <c r="J11" i="1"/>
  <c r="F17" i="1"/>
  <c r="F16" i="1"/>
  <c r="F15" i="1"/>
  <c r="F14" i="1"/>
  <c r="F13" i="1"/>
  <c r="F12" i="1"/>
  <c r="F11" i="1"/>
  <c r="B6" i="1" s="1"/>
  <c r="H6" i="1"/>
  <c r="F6" i="1"/>
  <c r="D6" i="1"/>
</calcChain>
</file>

<file path=xl/sharedStrings.xml><?xml version="1.0" encoding="utf-8"?>
<sst xmlns="http://schemas.openxmlformats.org/spreadsheetml/2006/main" count="103" uniqueCount="80">
  <si>
    <t>FINFLOW - DASHBOARD KEUANGAN &amp; BUDGETING</t>
  </si>
  <si>
    <t>Pencatatan Keuangan Harian: Multi-Dompet, Budgeting Bulanan &amp; Pelacak Talangan</t>
  </si>
  <si>
    <t>TOTAL SALDO (DOMPET INDUK)</t>
  </si>
  <si>
    <t>TOTAL PEMASUKAN</t>
  </si>
  <si>
    <t>TOTAL PENGELUARAN</t>
  </si>
  <si>
    <t>TALANGAN BELUM KEMBALI</t>
  </si>
  <si>
    <t>RINCIAN SALDO PER DOMPET</t>
  </si>
  <si>
    <t>No</t>
  </si>
  <si>
    <t>Nama Dompet</t>
  </si>
  <si>
    <t>Tipe Akun</t>
  </si>
  <si>
    <t>Saldo Awal</t>
  </si>
  <si>
    <t>Saldo Real-Time</t>
  </si>
  <si>
    <t>BCA Utama</t>
  </si>
  <si>
    <t>Bank</t>
  </si>
  <si>
    <t>Mandiri</t>
  </si>
  <si>
    <t>Dompet Tunai</t>
  </si>
  <si>
    <t>Cash / Tunai</t>
  </si>
  <si>
    <t>GoPay</t>
  </si>
  <si>
    <t>E-Wallet</t>
  </si>
  <si>
    <t>OVO / Dana</t>
  </si>
  <si>
    <t>Tabungan Bibit</t>
  </si>
  <si>
    <t>Investasi</t>
  </si>
  <si>
    <t>TOTAL KEKAYAAN</t>
  </si>
  <si>
    <t>BUDGETING BULANAN</t>
  </si>
  <si>
    <t>Kategori Budget</t>
  </si>
  <si>
    <t>Limit Anggaran</t>
  </si>
  <si>
    <t>Terpakai</t>
  </si>
  <si>
    <t>Sisa Anggaran</t>
  </si>
  <si>
    <t>Makanan &amp; Minuman</t>
  </si>
  <si>
    <t>Transportasi</t>
  </si>
  <si>
    <t>Belanja Bulanan</t>
  </si>
  <si>
    <t>Tagihan &amp; Utilitas</t>
  </si>
  <si>
    <t>Hiburan &amp; Hobi</t>
  </si>
  <si>
    <t>TOTAL BUDGET</t>
  </si>
  <si>
    <t>Sisa Hari Bulan Ini:</t>
  </si>
  <si>
    <t>BATAS AMAN BELANJA HARIAN:</t>
  </si>
  <si>
    <t>ID Transaksi</t>
  </si>
  <si>
    <t>Tanggal</t>
  </si>
  <si>
    <t>Waktu</t>
  </si>
  <si>
    <t>Tipe</t>
  </si>
  <si>
    <t>Kategori</t>
  </si>
  <si>
    <t>Dompet Asal</t>
  </si>
  <si>
    <t>Dompet Tujuan / Peminjam</t>
  </si>
  <si>
    <t>Pemasukan (Rp)</t>
  </si>
  <si>
    <t>Pengeluaran (Rp)</t>
  </si>
  <si>
    <t>Catatan / Keterangan</t>
  </si>
  <si>
    <t>TX-001</t>
  </si>
  <si>
    <t>Pemasukan</t>
  </si>
  <si>
    <t>Gaji &amp; Honor</t>
  </si>
  <si>
    <t>-</t>
  </si>
  <si>
    <t>Gaji Bulanan Masuk</t>
  </si>
  <si>
    <t>TX-002</t>
  </si>
  <si>
    <t>Pengeluaran</t>
  </si>
  <si>
    <t>Nasi Padang Rendang + Es Teh</t>
  </si>
  <si>
    <t>TX-003</t>
  </si>
  <si>
    <t>Gojek Berangkat ke Kantor</t>
  </si>
  <si>
    <t>TX-004</t>
  </si>
  <si>
    <t>Belanja Kebutuhan Supermarket</t>
  </si>
  <si>
    <t>TX-005</t>
  </si>
  <si>
    <t>Transfer</t>
  </si>
  <si>
    <t>Tarik Tunai ATM untuk pegangan cash</t>
  </si>
  <si>
    <t>TX-006</t>
  </si>
  <si>
    <t>Talangan</t>
  </si>
  <si>
    <t>Budi Santoso</t>
  </si>
  <si>
    <t>Talangan Bayarin Mie Ayam Budi</t>
  </si>
  <si>
    <t>ID Talangan</t>
  </si>
  <si>
    <t>Tanggal Pinjam</t>
  </si>
  <si>
    <t>Nama Peminjam / Teman</t>
  </si>
  <si>
    <t>Keterangan</t>
  </si>
  <si>
    <t>Nominal Talangan</t>
  </si>
  <si>
    <t>Status</t>
  </si>
  <si>
    <t>Tanggal Dilunasi</t>
  </si>
  <si>
    <t>Uang Masuk ke Dompet</t>
  </si>
  <si>
    <t>TB-001</t>
  </si>
  <si>
    <t>Bayarin makan siang mie ayam kantor</t>
  </si>
  <si>
    <t>Belum Lunas</t>
  </si>
  <si>
    <t>TB-002</t>
  </si>
  <si>
    <t>Rian Wijaya</t>
  </si>
  <si>
    <t>Beli bensin bareng</t>
  </si>
  <si>
    <t>Lunas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</si>
</sst>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.##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0"/>
      <color rgb="FFB8A394"/>
      <name val="Aptos Narrow"/>
      <family val="2"/>
      <scheme val="minor"/>
    </font>
    <font>
      <b/>
      <sz val="8"/>
      <color rgb="FF99D334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8"/>
      <color rgb="FF81B910"/>
      <name val="Aptos Narrow"/>
      <family val="2"/>
      <scheme val="minor"/>
    </font>
    <font>
      <b/>
      <sz val="8"/>
      <color rgb="FFFB8571"/>
      <name val="Aptos Narrow"/>
      <family val="2"/>
      <scheme val="minor"/>
    </font>
    <font>
      <b/>
      <sz val="8"/>
      <color rgb="FFFABF2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699605"/>
      <name val="Aptos Narrow"/>
      <family val="2"/>
      <scheme val="minor"/>
    </font>
    <font>
      <b/>
      <sz val="12"/>
      <color rgb="FF699605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90D16"/>
        <bgColor indexed="64"/>
      </patternFill>
    </fill>
    <fill>
      <patternFill patternType="solid">
        <fgColor rgb="FF3B291E"/>
        <bgColor indexed="64"/>
      </patternFill>
    </fill>
    <fill>
      <patternFill patternType="solid">
        <fgColor rgb="FF3B2513"/>
        <bgColor indexed="64"/>
      </patternFill>
    </fill>
    <fill>
      <patternFill patternType="solid">
        <fgColor rgb="FF1F2E1B"/>
        <bgColor indexed="64"/>
      </patternFill>
    </fill>
    <fill>
      <patternFill patternType="solid">
        <fgColor rgb="FF2E1B1A"/>
        <bgColor indexed="64"/>
      </patternFill>
    </fill>
    <fill>
      <patternFill patternType="solid">
        <fgColor rgb="FF382A16"/>
        <bgColor indexed="64"/>
      </patternFill>
    </fill>
    <fill>
      <patternFill patternType="solid">
        <fgColor rgb="FF554133"/>
        <bgColor indexed="64"/>
      </patternFill>
    </fill>
    <fill>
      <patternFill patternType="solid">
        <fgColor rgb="FFF0E8E2"/>
        <bgColor indexed="64"/>
      </patternFill>
    </fill>
    <fill>
      <patternFill patternType="solid">
        <fgColor rgb="FFE5FAD1"/>
        <bgColor indexed="64"/>
      </patternFill>
    </fill>
    <fill>
      <patternFill patternType="solid">
        <fgColor rgb="FFC7F3FE"/>
        <bgColor indexed="64"/>
      </patternFill>
    </fill>
    <fill>
      <patternFill patternType="solid">
        <fgColor rgb="FF0677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4" borderId="0" xfId="0" applyFont="1" applyFill="1"/>
    <xf numFmtId="0" fontId="0" fillId="4" borderId="0" xfId="0" applyFill="1"/>
    <xf numFmtId="164" fontId="5" fillId="4" borderId="0" xfId="0" applyNumberFormat="1" applyFont="1" applyFill="1"/>
    <xf numFmtId="0" fontId="6" fillId="5" borderId="0" xfId="0" applyFont="1" applyFill="1"/>
    <xf numFmtId="0" fontId="0" fillId="5" borderId="0" xfId="0" applyFill="1"/>
    <xf numFmtId="164" fontId="5" fillId="5" borderId="0" xfId="0" applyNumberFormat="1" applyFont="1" applyFill="1"/>
    <xf numFmtId="0" fontId="7" fillId="6" borderId="0" xfId="0" applyFont="1" applyFill="1"/>
    <xf numFmtId="0" fontId="0" fillId="6" borderId="0" xfId="0" applyFill="1"/>
    <xf numFmtId="164" fontId="5" fillId="6" borderId="0" xfId="0" applyNumberFormat="1" applyFont="1" applyFill="1"/>
    <xf numFmtId="0" fontId="8" fillId="7" borderId="0" xfId="0" applyFont="1" applyFill="1"/>
    <xf numFmtId="0" fontId="0" fillId="7" borderId="0" xfId="0" applyFill="1"/>
    <xf numFmtId="164" fontId="5" fillId="7" borderId="0" xfId="0" applyNumberFormat="1" applyFont="1" applyFill="1"/>
    <xf numFmtId="0" fontId="1" fillId="0" borderId="0" xfId="0" applyFont="1"/>
    <xf numFmtId="0" fontId="9" fillId="8" borderId="0" xfId="0" applyFont="1" applyFill="1"/>
    <xf numFmtId="0" fontId="0" fillId="8" borderId="0" xfId="0" applyFill="1"/>
    <xf numFmtId="0" fontId="1" fillId="0" borderId="0" xfId="0" applyFont="1"/>
    <xf numFmtId="0" fontId="1" fillId="9" borderId="0" xfId="0" applyFont="1" applyFill="1"/>
    <xf numFmtId="164" fontId="0" fillId="0" borderId="0" xfId="0" applyNumberFormat="1"/>
    <xf numFmtId="0" fontId="1" fillId="10" borderId="0" xfId="0" applyFont="1" applyFill="1"/>
    <xf numFmtId="0" fontId="0" fillId="10" borderId="0" xfId="0" applyFill="1"/>
    <xf numFmtId="164" fontId="1" fillId="10" borderId="0" xfId="0" applyNumberFormat="1" applyFont="1" applyFill="1"/>
    <xf numFmtId="0" fontId="1" fillId="11" borderId="0" xfId="0" applyFont="1" applyFill="1"/>
    <xf numFmtId="164" fontId="1" fillId="11" borderId="0" xfId="0" applyNumberFormat="1" applyFont="1" applyFill="1"/>
    <xf numFmtId="0" fontId="10" fillId="10" borderId="0" xfId="0" applyFont="1" applyFill="1"/>
    <xf numFmtId="164" fontId="11" fillId="10" borderId="0" xfId="0" applyNumberFormat="1" applyFont="1" applyFill="1"/>
    <xf numFmtId="0" fontId="9" fillId="3" borderId="0" xfId="0" applyFont="1" applyFill="1"/>
    <xf numFmtId="14" fontId="0" fillId="0" borderId="0" xfId="0" applyNumberFormat="1"/>
    <xf numFmtId="20" fontId="0" fillId="0" borderId="0" xfId="0" applyNumberFormat="1"/>
    <xf numFmtId="0" fontId="9" fillId="1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ransaksi%20Harian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langan%20&amp;%20Piuta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aksi Harian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langan &amp; Piutan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9779-03EB-4EF7-B4A0-7AF0EDF04E5E}">
  <dimension ref="A1:H3"/>
  <sheetViews>
    <sheetView workbookViewId="0"/>
  </sheetViews>
  <sheetFormatPr defaultRowHeight="14.5" x14ac:dyDescent="0.35"/>
  <cols>
    <col min="1" max="1" width="10.54296875" bestFit="1" customWidth="1"/>
    <col min="2" max="2" width="13.54296875" bestFit="1" customWidth="1"/>
    <col min="3" max="3" width="22" bestFit="1" customWidth="1"/>
    <col min="4" max="4" width="31.36328125" bestFit="1" customWidth="1"/>
    <col min="5" max="5" width="15.90625" bestFit="1" customWidth="1"/>
    <col min="6" max="6" width="11.08984375" bestFit="1" customWidth="1"/>
    <col min="7" max="7" width="14.6328125" bestFit="1" customWidth="1"/>
    <col min="8" max="8" width="20.453125" bestFit="1" customWidth="1"/>
  </cols>
  <sheetData>
    <row r="1" spans="1:8" ht="24" customHeight="1" x14ac:dyDescent="0.35">
      <c r="A1" s="34" t="s">
        <v>65</v>
      </c>
      <c r="B1" s="34" t="s">
        <v>66</v>
      </c>
      <c r="C1" s="34" t="s">
        <v>67</v>
      </c>
      <c r="D1" s="34" t="s">
        <v>68</v>
      </c>
      <c r="E1" s="34" t="s">
        <v>69</v>
      </c>
      <c r="F1" s="34" t="s">
        <v>70</v>
      </c>
      <c r="G1" s="34" t="s">
        <v>71</v>
      </c>
      <c r="H1" s="34" t="s">
        <v>72</v>
      </c>
    </row>
    <row r="2" spans="1:8" x14ac:dyDescent="0.35">
      <c r="A2" t="s">
        <v>73</v>
      </c>
      <c r="B2" s="32">
        <v>46297</v>
      </c>
      <c r="C2" t="s">
        <v>63</v>
      </c>
      <c r="D2" t="s">
        <v>74</v>
      </c>
      <c r="E2" s="23">
        <v>50000</v>
      </c>
      <c r="F2" t="s">
        <v>75</v>
      </c>
      <c r="G2" t="s">
        <v>49</v>
      </c>
      <c r="H2" t="s">
        <v>49</v>
      </c>
    </row>
    <row r="3" spans="1:8" x14ac:dyDescent="0.35">
      <c r="A3" t="s">
        <v>76</v>
      </c>
      <c r="B3" s="32">
        <v>46290</v>
      </c>
      <c r="C3" t="s">
        <v>77</v>
      </c>
      <c r="D3" t="s">
        <v>78</v>
      </c>
      <c r="E3" s="23">
        <v>35000</v>
      </c>
      <c r="F3" t="s">
        <v>79</v>
      </c>
      <c r="G3" s="32">
        <v>46291</v>
      </c>
      <c r="H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95BAD-C567-487B-8716-3850C81E90D0}">
  <dimension ref="A1:J7"/>
  <sheetViews>
    <sheetView workbookViewId="0"/>
  </sheetViews>
  <sheetFormatPr defaultRowHeight="14.5" x14ac:dyDescent="0.35"/>
  <cols>
    <col min="1" max="1" width="11" bestFit="1" customWidth="1"/>
    <col min="2" max="2" width="10.08984375" bestFit="1" customWidth="1"/>
    <col min="3" max="3" width="6.1796875" bestFit="1" customWidth="1"/>
    <col min="4" max="4" width="10.90625" bestFit="1" customWidth="1"/>
    <col min="5" max="5" width="17.7265625" bestFit="1" customWidth="1"/>
    <col min="6" max="6" width="12" bestFit="1" customWidth="1"/>
    <col min="7" max="7" width="23.81640625" bestFit="1" customWidth="1"/>
    <col min="8" max="8" width="14.6328125" bestFit="1" customWidth="1"/>
    <col min="9" max="9" width="15.26953125" bestFit="1" customWidth="1"/>
    <col min="10" max="10" width="31.08984375" bestFit="1" customWidth="1"/>
  </cols>
  <sheetData>
    <row r="1" spans="1:10" ht="24" customHeight="1" x14ac:dyDescent="0.35">
      <c r="A1" s="31" t="s">
        <v>36</v>
      </c>
      <c r="B1" s="31" t="s">
        <v>37</v>
      </c>
      <c r="C1" s="31" t="s">
        <v>38</v>
      </c>
      <c r="D1" s="31" t="s">
        <v>39</v>
      </c>
      <c r="E1" s="31" t="s">
        <v>40</v>
      </c>
      <c r="F1" s="31" t="s">
        <v>41</v>
      </c>
      <c r="G1" s="31" t="s">
        <v>42</v>
      </c>
      <c r="H1" s="31" t="s">
        <v>43</v>
      </c>
      <c r="I1" s="31" t="s">
        <v>44</v>
      </c>
      <c r="J1" s="31" t="s">
        <v>45</v>
      </c>
    </row>
    <row r="2" spans="1:10" x14ac:dyDescent="0.35">
      <c r="A2" t="s">
        <v>46</v>
      </c>
      <c r="B2" s="32">
        <v>46296</v>
      </c>
      <c r="C2" s="33">
        <v>0.375</v>
      </c>
      <c r="D2" t="s">
        <v>47</v>
      </c>
      <c r="E2" t="s">
        <v>48</v>
      </c>
      <c r="F2" t="s">
        <v>12</v>
      </c>
      <c r="G2" t="s">
        <v>49</v>
      </c>
      <c r="H2" s="23">
        <v>7000000</v>
      </c>
      <c r="I2" s="23">
        <v>0</v>
      </c>
      <c r="J2" t="s">
        <v>50</v>
      </c>
    </row>
    <row r="3" spans="1:10" x14ac:dyDescent="0.35">
      <c r="A3" t="s">
        <v>51</v>
      </c>
      <c r="B3" s="32">
        <v>46296</v>
      </c>
      <c r="C3" s="33">
        <v>0.52083333333333337</v>
      </c>
      <c r="D3" t="s">
        <v>52</v>
      </c>
      <c r="E3" t="s">
        <v>28</v>
      </c>
      <c r="F3" t="s">
        <v>15</v>
      </c>
      <c r="G3" t="s">
        <v>49</v>
      </c>
      <c r="H3" s="23">
        <v>0</v>
      </c>
      <c r="I3" s="23">
        <v>32000</v>
      </c>
      <c r="J3" t="s">
        <v>53</v>
      </c>
    </row>
    <row r="4" spans="1:10" x14ac:dyDescent="0.35">
      <c r="A4" t="s">
        <v>54</v>
      </c>
      <c r="B4" s="32">
        <v>46296</v>
      </c>
      <c r="C4" s="33">
        <v>0.34375</v>
      </c>
      <c r="D4" t="s">
        <v>52</v>
      </c>
      <c r="E4" t="s">
        <v>29</v>
      </c>
      <c r="F4" t="s">
        <v>17</v>
      </c>
      <c r="G4" t="s">
        <v>49</v>
      </c>
      <c r="H4" s="23">
        <v>0</v>
      </c>
      <c r="I4" s="23">
        <v>25000</v>
      </c>
      <c r="J4" t="s">
        <v>55</v>
      </c>
    </row>
    <row r="5" spans="1:10" x14ac:dyDescent="0.35">
      <c r="A5" t="s">
        <v>56</v>
      </c>
      <c r="B5" s="32">
        <v>46296</v>
      </c>
      <c r="C5" s="33">
        <v>0.81944444444444442</v>
      </c>
      <c r="D5" t="s">
        <v>52</v>
      </c>
      <c r="E5" t="s">
        <v>30</v>
      </c>
      <c r="F5" t="s">
        <v>12</v>
      </c>
      <c r="G5" t="s">
        <v>49</v>
      </c>
      <c r="H5" s="23">
        <v>0</v>
      </c>
      <c r="I5" s="23">
        <v>350000</v>
      </c>
      <c r="J5" t="s">
        <v>57</v>
      </c>
    </row>
    <row r="6" spans="1:10" x14ac:dyDescent="0.35">
      <c r="A6" t="s">
        <v>58</v>
      </c>
      <c r="B6" s="32">
        <v>46297</v>
      </c>
      <c r="C6" s="33">
        <v>0.45833333333333331</v>
      </c>
      <c r="D6" t="s">
        <v>59</v>
      </c>
      <c r="E6" t="s">
        <v>49</v>
      </c>
      <c r="F6" t="s">
        <v>12</v>
      </c>
      <c r="G6" t="s">
        <v>15</v>
      </c>
      <c r="H6" s="23">
        <v>0</v>
      </c>
      <c r="I6" s="23">
        <v>200000</v>
      </c>
      <c r="J6" t="s">
        <v>60</v>
      </c>
    </row>
    <row r="7" spans="1:10" x14ac:dyDescent="0.35">
      <c r="A7" t="s">
        <v>61</v>
      </c>
      <c r="B7" s="32">
        <v>46297</v>
      </c>
      <c r="C7" s="33">
        <v>0.54166666666666663</v>
      </c>
      <c r="D7" t="s">
        <v>62</v>
      </c>
      <c r="E7" t="s">
        <v>49</v>
      </c>
      <c r="F7" t="s">
        <v>12</v>
      </c>
      <c r="G7" t="s">
        <v>63</v>
      </c>
      <c r="H7" s="23">
        <v>0</v>
      </c>
      <c r="I7" s="23">
        <v>50000</v>
      </c>
      <c r="J7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8CB9-A5E8-410C-ADEB-BA150F3E1A6A}">
  <dimension ref="B2:K19"/>
  <sheetViews>
    <sheetView tabSelected="1" workbookViewId="0"/>
  </sheetViews>
  <sheetFormatPr defaultRowHeight="14.5" x14ac:dyDescent="0.35"/>
  <cols>
    <col min="2" max="2" width="3.08984375" bestFit="1" customWidth="1"/>
    <col min="3" max="3" width="12.7265625" bestFit="1" customWidth="1"/>
    <col min="4" max="4" width="10.7265625" bestFit="1" customWidth="1"/>
    <col min="5" max="5" width="11.81640625" bestFit="1" customWidth="1"/>
    <col min="6" max="6" width="14.453125" bestFit="1" customWidth="1"/>
    <col min="8" max="8" width="17.7265625" bestFit="1" customWidth="1"/>
    <col min="9" max="9" width="13.26953125" bestFit="1" customWidth="1"/>
    <col min="10" max="10" width="8" bestFit="1" customWidth="1"/>
    <col min="11" max="11" width="12.453125" bestFit="1" customWidth="1"/>
  </cols>
  <sheetData>
    <row r="2" spans="2:11" ht="35" customHeight="1" x14ac:dyDescent="0.5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</row>
    <row r="3" spans="2:11" x14ac:dyDescent="0.3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</row>
    <row r="5" spans="2:11" x14ac:dyDescent="0.35">
      <c r="B5" s="6" t="s">
        <v>2</v>
      </c>
      <c r="C5" s="7"/>
      <c r="D5" s="9" t="s">
        <v>3</v>
      </c>
      <c r="E5" s="10"/>
      <c r="F5" s="12" t="s">
        <v>4</v>
      </c>
      <c r="G5" s="13"/>
      <c r="H5" s="15" t="s">
        <v>5</v>
      </c>
      <c r="I5" s="16"/>
    </row>
    <row r="6" spans="2:11" ht="19.5" x14ac:dyDescent="0.45">
      <c r="B6" s="8" t="e">
        <f>SUM(F11:F16)</f>
        <v>#VALUE!</v>
      </c>
      <c r="C6" s="7"/>
      <c r="D6" s="11" t="e">
        <f>SUMIF('[1]Transaksi Harian'!D:D, "Pemasukan", '[1]Transaksi Harian'!H:H)</f>
        <v>#VALUE!</v>
      </c>
      <c r="E6" s="10"/>
      <c r="F6" s="14" t="e">
        <f>SUMIF('[1]Transaksi Harian'!D:D, "Pengeluaran", '[1]Transaksi Harian'!I:I)</f>
        <v>#VALUE!</v>
      </c>
      <c r="G6" s="13"/>
      <c r="H6" s="17" t="e">
        <f>SUMIF('[2]Talangan &amp; Piutang'!F:F, "Belum Lunas", '[2]Talangan &amp; Piutang'!E:E)</f>
        <v>#VALUE!</v>
      </c>
      <c r="I6" s="16"/>
    </row>
    <row r="9" spans="2:11" x14ac:dyDescent="0.35">
      <c r="B9" s="19" t="s">
        <v>6</v>
      </c>
      <c r="C9" s="20"/>
      <c r="D9" s="20"/>
      <c r="E9" s="20"/>
      <c r="F9" s="20"/>
      <c r="H9" s="19" t="s">
        <v>23</v>
      </c>
      <c r="I9" s="20"/>
      <c r="J9" s="20"/>
      <c r="K9" s="20"/>
    </row>
    <row r="10" spans="2:11" x14ac:dyDescent="0.35">
      <c r="B10" s="22" t="s">
        <v>7</v>
      </c>
      <c r="C10" s="22" t="s">
        <v>8</v>
      </c>
      <c r="D10" s="22" t="s">
        <v>9</v>
      </c>
      <c r="E10" s="22" t="s">
        <v>10</v>
      </c>
      <c r="F10" s="22" t="s">
        <v>11</v>
      </c>
      <c r="H10" s="22" t="s">
        <v>24</v>
      </c>
      <c r="I10" s="22" t="s">
        <v>25</v>
      </c>
      <c r="J10" s="22" t="s">
        <v>26</v>
      </c>
      <c r="K10" s="22" t="s">
        <v>27</v>
      </c>
    </row>
    <row r="11" spans="2:11" x14ac:dyDescent="0.35">
      <c r="B11">
        <v>1</v>
      </c>
      <c r="C11" t="s">
        <v>12</v>
      </c>
      <c r="D11" t="s">
        <v>13</v>
      </c>
      <c r="E11" s="23">
        <v>5000000</v>
      </c>
      <c r="F11" s="23" t="e">
        <f>E11 + SUMIFS('[1]Transaksi Harian'!H:H, '[1]Transaksi Harian'!F:F, C11) - SUMIFS('[1]Transaksi Harian'!I:I, '[1]Transaksi Harian'!F:F, C11) + SUMIFS('[1]Transaksi Harian'!H:H, '[1]Transaksi Harian'!G:G, C11)</f>
        <v>#VALUE!</v>
      </c>
      <c r="H11" t="s">
        <v>28</v>
      </c>
      <c r="I11" s="23">
        <v>1500000</v>
      </c>
      <c r="J11" s="23" t="e">
        <f>SUMIFS('[1]Transaksi Harian'!I:I, '[1]Transaksi Harian'!E:E, H11)</f>
        <v>#VALUE!</v>
      </c>
      <c r="K11" s="23" t="e">
        <f>I11 - J11</f>
        <v>#VALUE!</v>
      </c>
    </row>
    <row r="12" spans="2:11" x14ac:dyDescent="0.35">
      <c r="B12">
        <v>2</v>
      </c>
      <c r="C12" t="s">
        <v>14</v>
      </c>
      <c r="D12" t="s">
        <v>13</v>
      </c>
      <c r="E12" s="23">
        <v>1500000</v>
      </c>
      <c r="F12" s="23" t="e">
        <f>E12 + SUMIFS('[1]Transaksi Harian'!H:H, '[1]Transaksi Harian'!F:F, C12) - SUMIFS('[1]Transaksi Harian'!I:I, '[1]Transaksi Harian'!F:F, C12) + SUMIFS('[1]Transaksi Harian'!H:H, '[1]Transaksi Harian'!G:G, C12)</f>
        <v>#VALUE!</v>
      </c>
      <c r="H12" t="s">
        <v>29</v>
      </c>
      <c r="I12" s="23">
        <v>500000</v>
      </c>
      <c r="J12" s="23" t="e">
        <f>SUMIFS('[1]Transaksi Harian'!I:I, '[1]Transaksi Harian'!E:E, H12)</f>
        <v>#VALUE!</v>
      </c>
      <c r="K12" s="23" t="e">
        <f>I12 - J12</f>
        <v>#VALUE!</v>
      </c>
    </row>
    <row r="13" spans="2:11" x14ac:dyDescent="0.35">
      <c r="B13">
        <v>3</v>
      </c>
      <c r="C13" t="s">
        <v>15</v>
      </c>
      <c r="D13" t="s">
        <v>16</v>
      </c>
      <c r="E13" s="23">
        <v>450000</v>
      </c>
      <c r="F13" s="23" t="e">
        <f>E13 + SUMIFS('[1]Transaksi Harian'!H:H, '[1]Transaksi Harian'!F:F, C13) - SUMIFS('[1]Transaksi Harian'!I:I, '[1]Transaksi Harian'!F:F, C13) + SUMIFS('[1]Transaksi Harian'!H:H, '[1]Transaksi Harian'!G:G, C13)</f>
        <v>#VALUE!</v>
      </c>
      <c r="H13" t="s">
        <v>30</v>
      </c>
      <c r="I13" s="23">
        <v>800000</v>
      </c>
      <c r="J13" s="23" t="e">
        <f>SUMIFS('[1]Transaksi Harian'!I:I, '[1]Transaksi Harian'!E:E, H13)</f>
        <v>#VALUE!</v>
      </c>
      <c r="K13" s="23" t="e">
        <f>I13 - J13</f>
        <v>#VALUE!</v>
      </c>
    </row>
    <row r="14" spans="2:11" x14ac:dyDescent="0.35">
      <c r="B14">
        <v>4</v>
      </c>
      <c r="C14" t="s">
        <v>17</v>
      </c>
      <c r="D14" t="s">
        <v>18</v>
      </c>
      <c r="E14" s="23">
        <v>200000</v>
      </c>
      <c r="F14" s="23" t="e">
        <f>E14 + SUMIFS('[1]Transaksi Harian'!H:H, '[1]Transaksi Harian'!F:F, C14) - SUMIFS('[1]Transaksi Harian'!I:I, '[1]Transaksi Harian'!F:F, C14) + SUMIFS('[1]Transaksi Harian'!H:H, '[1]Transaksi Harian'!G:G, C14)</f>
        <v>#VALUE!</v>
      </c>
      <c r="H14" t="s">
        <v>31</v>
      </c>
      <c r="I14" s="23">
        <v>600000</v>
      </c>
      <c r="J14" s="23" t="e">
        <f>SUMIFS('[1]Transaksi Harian'!I:I, '[1]Transaksi Harian'!E:E, H14)</f>
        <v>#VALUE!</v>
      </c>
      <c r="K14" s="23" t="e">
        <f>I14 - J14</f>
        <v>#VALUE!</v>
      </c>
    </row>
    <row r="15" spans="2:11" x14ac:dyDescent="0.35">
      <c r="B15">
        <v>5</v>
      </c>
      <c r="C15" t="s">
        <v>19</v>
      </c>
      <c r="D15" t="s">
        <v>18</v>
      </c>
      <c r="E15" s="23">
        <v>150000</v>
      </c>
      <c r="F15" s="23" t="e">
        <f>E15 + SUMIFS('[1]Transaksi Harian'!H:H, '[1]Transaksi Harian'!F:F, C15) - SUMIFS('[1]Transaksi Harian'!I:I, '[1]Transaksi Harian'!F:F, C15) + SUMIFS('[1]Transaksi Harian'!H:H, '[1]Transaksi Harian'!G:G, C15)</f>
        <v>#VALUE!</v>
      </c>
      <c r="H15" t="s">
        <v>32</v>
      </c>
      <c r="I15" s="23">
        <v>350000</v>
      </c>
      <c r="J15" s="23" t="e">
        <f>SUMIFS('[1]Transaksi Harian'!I:I, '[1]Transaksi Harian'!E:E, H15)</f>
        <v>#VALUE!</v>
      </c>
      <c r="K15" s="23" t="e">
        <f>I15 - J15</f>
        <v>#VALUE!</v>
      </c>
    </row>
    <row r="16" spans="2:11" x14ac:dyDescent="0.35">
      <c r="B16">
        <v>6</v>
      </c>
      <c r="C16" t="s">
        <v>20</v>
      </c>
      <c r="D16" t="s">
        <v>21</v>
      </c>
      <c r="E16" s="23">
        <v>3000000</v>
      </c>
      <c r="F16" s="23" t="e">
        <f>E16 + SUMIFS('[1]Transaksi Harian'!H:H, '[1]Transaksi Harian'!F:F, C16) - SUMIFS('[1]Transaksi Harian'!I:I, '[1]Transaksi Harian'!F:F, C16) + SUMIFS('[1]Transaksi Harian'!H:H, '[1]Transaksi Harian'!G:G, C16)</f>
        <v>#VALUE!</v>
      </c>
      <c r="H16" s="27" t="s">
        <v>33</v>
      </c>
      <c r="I16" s="28">
        <f>SUM(I11:I15)</f>
        <v>3750000</v>
      </c>
      <c r="J16" s="28" t="e">
        <f>SUM(J11:J15)</f>
        <v>#VALUE!</v>
      </c>
      <c r="K16" s="28" t="e">
        <f>SUM(K11:K15)</f>
        <v>#VALUE!</v>
      </c>
    </row>
    <row r="17" spans="2:11" x14ac:dyDescent="0.35">
      <c r="B17" s="24" t="s">
        <v>22</v>
      </c>
      <c r="C17" s="25"/>
      <c r="D17" s="25"/>
      <c r="E17" s="25"/>
      <c r="F17" s="26" t="e">
        <f>SUM(F11:F16)</f>
        <v>#VALUE!</v>
      </c>
    </row>
    <row r="18" spans="2:11" x14ac:dyDescent="0.35">
      <c r="H18" s="18" t="s">
        <v>34</v>
      </c>
      <c r="I18" s="1"/>
      <c r="J18" s="1"/>
      <c r="K18" s="21">
        <v>28</v>
      </c>
    </row>
    <row r="19" spans="2:11" ht="16" x14ac:dyDescent="0.4">
      <c r="H19" s="29" t="s">
        <v>35</v>
      </c>
      <c r="I19" s="25"/>
      <c r="J19" s="25"/>
      <c r="K19" s="30" t="e">
        <f>MAX(0, K16 / K18)</f>
        <v>#VALUE!</v>
      </c>
    </row>
  </sheetData>
  <mergeCells count="15">
    <mergeCell ref="B9:F9"/>
    <mergeCell ref="B17:E17"/>
    <mergeCell ref="H9:K9"/>
    <mergeCell ref="H18:J18"/>
    <mergeCell ref="H19:J19"/>
    <mergeCell ref="B2:K2"/>
    <mergeCell ref="B3:K3"/>
    <mergeCell ref="B5:C5"/>
    <mergeCell ref="B6:C6"/>
    <mergeCell ref="D5:E5"/>
    <mergeCell ref="D6:E6"/>
    <mergeCell ref="F5:G5"/>
    <mergeCell ref="F6:G6"/>
    <mergeCell ref="H5:I5"/>
    <mergeCell ref="H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Talangan &amp; Piutang</vt:lpstr>
      <vt:lpstr>Transaksi Harian</vt:lpstr>
      <vt:lpstr>Dashboard &amp; Ringkasan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 ARTHUR</dc:creator>
  <cp:lastModifiedBy>KING ARTHUR</cp:lastModifiedBy>
  <dcterms:created xsi:type="dcterms:W3CDTF">2026-10-02T15:53:49Z</dcterms:created>
  <dcterms:modified xsi:type="dcterms:W3CDTF">2026-10-02T15:53:50Z</dcterms:modified>
</cp:coreProperties>
</file>